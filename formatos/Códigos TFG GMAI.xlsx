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ax-my.sharepoint.com/personal/areinpei_uax_es/Documents/Docencia/Curso25-26/TFGs/"/>
    </mc:Choice>
  </mc:AlternateContent>
  <xr:revisionPtr revIDLastSave="8" documentId="8_{C138DECC-3147-4D05-9B8F-8B7F05840830}" xr6:coauthVersionLast="47" xr6:coauthVersionMax="47" xr10:uidLastSave="{E45BC4EA-0E2B-43C5-89A5-0D83BC97EE70}"/>
  <bookViews>
    <workbookView xWindow="-120" yWindow="-120" windowWidth="29040" windowHeight="15720" xr2:uid="{0D459D3B-1817-45BD-BECE-D5FB760D95BC}"/>
  </bookViews>
  <sheets>
    <sheet name="TFG GM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11" i="1"/>
  <c r="F10" i="1"/>
  <c r="F9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<sst xmlns="http://schemas.openxmlformats.org/spreadsheetml/2006/main" count="46" uniqueCount="28">
  <si>
    <t>NP</t>
  </si>
  <si>
    <t>ITIN</t>
  </si>
  <si>
    <t>Tutor</t>
  </si>
  <si>
    <t>NIA Tutor</t>
  </si>
  <si>
    <t>Carr. TFE</t>
  </si>
  <si>
    <t>Titulo</t>
  </si>
  <si>
    <t>GMAI</t>
  </si>
  <si>
    <t>García Pelluz, Estrella</t>
  </si>
  <si>
    <t>GIF</t>
  </si>
  <si>
    <t>Desarrollo y Evaluación de Modelos de ML</t>
  </si>
  <si>
    <t>Velasco Rebolledo, Jacinto</t>
  </si>
  <si>
    <t>GMAT</t>
  </si>
  <si>
    <t>Creación y desarrollo de un perro robótico Bell-e para el uso en ciencias de la salud</t>
  </si>
  <si>
    <t>Goikoetxea Gonzalez, Javier</t>
  </si>
  <si>
    <t>Sistema HUD Inteligente para Vehículos mediante Visión por Computador y Deep Learning</t>
  </si>
  <si>
    <t>Marcos García, José Antonio</t>
  </si>
  <si>
    <t>Sin Título</t>
  </si>
  <si>
    <t>Calvo Martín, Jorge</t>
  </si>
  <si>
    <t>Criptografía Postcuántica y Retículos: Fundamentos, Seguridad y Aplicaciones</t>
  </si>
  <si>
    <t>Sacristán Montalvo, Raúl</t>
  </si>
  <si>
    <t>Uso de arquitecturas de IA multiagente para la administración de sistemas informáticos</t>
  </si>
  <si>
    <t>Ignacio Cerrato, Sara</t>
  </si>
  <si>
    <t>Implementación y Evaluación del Algoritmo Cuántico QAOA aplicado</t>
  </si>
  <si>
    <t>Procesamiento de Voz en IA: Caminando desde la Onda hasta la Predicción</t>
  </si>
  <si>
    <t>Galindo Beleña, Hugo Andrea</t>
  </si>
  <si>
    <t>Predicción del Precio de Ethereum a Corto Plazo mediante Modelos de Deep Learning y Análisis Multidimensional de Datos Cripto</t>
  </si>
  <si>
    <t xml:space="preserve"> TFE</t>
  </si>
  <si>
    <t>Código TFG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</si>
</sst>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8" fillId="33" borderId="0" xfId="0" applyFont="1" applyFill="1" applyAlignment="1">
      <alignment wrapText="1"/>
    </xf>
    <xf numFmtId="0" fontId="0" fillId="33" borderId="0" xfId="0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3EF9-9581-4BFD-AB6A-D9DCE22AB329}">
  <dimension ref="A1:H11"/>
  <sheetViews>
    <sheetView showGridLines="0" tabSelected="1" workbookViewId="0">
      <selection activeCell="A8" sqref="A8:H8"/>
    </sheetView>
  </sheetViews>
  <sheetFormatPr baseColWidth="10" defaultRowHeight="15" x14ac:dyDescent="0.25"/>
  <cols>
    <col min="1" max="1" width="7" bestFit="1" customWidth="1"/>
    <col min="2" max="2" width="4.85546875" bestFit="1" customWidth="1"/>
    <col min="3" max="3" width="22.7109375" bestFit="1" customWidth="1"/>
    <col min="4" max="4" width="8" bestFit="1" customWidth="1"/>
    <col min="5" max="6" width="7.5703125" bestFit="1" customWidth="1"/>
    <col min="7" max="7" width="12.85546875" customWidth="1"/>
    <col min="8" max="8" width="45.7109375" bestFit="1" customWidth="1"/>
  </cols>
  <sheetData>
    <row r="1" spans="1:8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27</v>
      </c>
      <c r="H1" s="1" t="s">
        <v>5</v>
      </c>
    </row>
    <row r="2" spans="1:8" x14ac:dyDescent="0.25">
      <c r="A2" s="2">
        <v>138996</v>
      </c>
      <c r="B2" s="2" t="s">
        <v>6</v>
      </c>
      <c r="C2" s="2" t="s">
        <v>7</v>
      </c>
      <c r="D2" s="2">
        <v>764163</v>
      </c>
      <c r="E2" s="2" t="s">
        <v>8</v>
      </c>
      <c r="F2" s="2" t="str">
        <f>"073"</f>
        <v>073</v>
      </c>
      <c r="G2" s="2" t="str">
        <f>CONCATENATE("GMAI-25",F2)</f>
        <v>GMAI-25073</v>
      </c>
      <c r="H2" s="2" t="s">
        <v>9</v>
      </c>
    </row>
    <row r="3" spans="1:8" ht="27" x14ac:dyDescent="0.25">
      <c r="A3" s="2">
        <v>141478</v>
      </c>
      <c r="B3" s="2" t="s">
        <v>6</v>
      </c>
      <c r="C3" s="2" t="s">
        <v>10</v>
      </c>
      <c r="D3" s="2">
        <v>13535</v>
      </c>
      <c r="E3" s="2" t="s">
        <v>11</v>
      </c>
      <c r="F3" s="2" t="str">
        <f>"001"</f>
        <v>001</v>
      </c>
      <c r="G3" s="2" t="str">
        <f t="shared" ref="G3:G11" si="0">CONCATENATE("GMAI-25",F3)</f>
        <v>GMAI-25001</v>
      </c>
      <c r="H3" s="2" t="s">
        <v>12</v>
      </c>
    </row>
    <row r="4" spans="1:8" ht="27" x14ac:dyDescent="0.25">
      <c r="A4" s="2">
        <v>141506</v>
      </c>
      <c r="B4" s="2" t="s">
        <v>6</v>
      </c>
      <c r="C4" s="2" t="s">
        <v>13</v>
      </c>
      <c r="D4" s="2">
        <v>755703</v>
      </c>
      <c r="E4" s="2" t="s">
        <v>11</v>
      </c>
      <c r="F4" s="2" t="str">
        <f>"002"</f>
        <v>002</v>
      </c>
      <c r="G4" s="2" t="str">
        <f t="shared" si="0"/>
        <v>GMAI-25002</v>
      </c>
      <c r="H4" s="2" t="s">
        <v>14</v>
      </c>
    </row>
    <row r="5" spans="1:8" x14ac:dyDescent="0.25">
      <c r="A5" s="2">
        <v>134385</v>
      </c>
      <c r="B5" s="2" t="s">
        <v>6</v>
      </c>
      <c r="C5" s="2" t="s">
        <v>15</v>
      </c>
      <c r="D5" s="2">
        <v>729612</v>
      </c>
      <c r="E5" s="2" t="s">
        <v>8</v>
      </c>
      <c r="F5" s="2" t="str">
        <f>"074"</f>
        <v>074</v>
      </c>
      <c r="G5" s="2" t="str">
        <f t="shared" si="0"/>
        <v>GMAI-25074</v>
      </c>
      <c r="H5" s="2" t="s">
        <v>16</v>
      </c>
    </row>
    <row r="6" spans="1:8" ht="27" x14ac:dyDescent="0.25">
      <c r="A6" s="2">
        <v>141681</v>
      </c>
      <c r="B6" s="2" t="s">
        <v>6</v>
      </c>
      <c r="C6" s="2" t="s">
        <v>17</v>
      </c>
      <c r="D6" s="2">
        <v>710513</v>
      </c>
      <c r="E6" s="2" t="s">
        <v>11</v>
      </c>
      <c r="F6" s="2" t="str">
        <f>"005"</f>
        <v>005</v>
      </c>
      <c r="G6" s="2" t="str">
        <f t="shared" si="0"/>
        <v>GMAI-25005</v>
      </c>
      <c r="H6" s="2" t="s">
        <v>18</v>
      </c>
    </row>
    <row r="7" spans="1:8" ht="27" x14ac:dyDescent="0.25">
      <c r="A7" s="2">
        <v>138571</v>
      </c>
      <c r="B7" s="2" t="s">
        <v>6</v>
      </c>
      <c r="C7" s="2" t="s">
        <v>19</v>
      </c>
      <c r="D7" s="2">
        <v>706809</v>
      </c>
      <c r="E7" s="2" t="s">
        <v>8</v>
      </c>
      <c r="F7" s="2" t="str">
        <f>"041"</f>
        <v>041</v>
      </c>
      <c r="G7" s="2" t="str">
        <f t="shared" si="0"/>
        <v>GMAI-25041</v>
      </c>
      <c r="H7" s="2" t="s">
        <v>20</v>
      </c>
    </row>
    <row r="8" spans="1:8" x14ac:dyDescent="0.25">
      <c r="A8" s="3">
        <v>140266</v>
      </c>
      <c r="B8" s="3" t="s">
        <v>6</v>
      </c>
      <c r="C8" s="4"/>
      <c r="D8" s="4"/>
      <c r="E8" s="3" t="s">
        <v>11</v>
      </c>
      <c r="F8" s="4"/>
      <c r="G8" s="3" t="str">
        <f t="shared" si="0"/>
        <v>GMAI-25</v>
      </c>
      <c r="H8" s="4"/>
    </row>
    <row r="9" spans="1:8" ht="27" x14ac:dyDescent="0.25">
      <c r="A9" s="2">
        <v>139427</v>
      </c>
      <c r="B9" s="2" t="s">
        <v>6</v>
      </c>
      <c r="C9" s="2" t="s">
        <v>21</v>
      </c>
      <c r="D9" s="2">
        <v>764498</v>
      </c>
      <c r="E9" s="2" t="s">
        <v>8</v>
      </c>
      <c r="F9" s="2" t="str">
        <f>"075"</f>
        <v>075</v>
      </c>
      <c r="G9" s="2" t="str">
        <f t="shared" si="0"/>
        <v>GMAI-25075</v>
      </c>
      <c r="H9" s="2" t="s">
        <v>22</v>
      </c>
    </row>
    <row r="10" spans="1:8" ht="27" x14ac:dyDescent="0.25">
      <c r="A10" s="2">
        <v>139174</v>
      </c>
      <c r="B10" s="2" t="s">
        <v>6</v>
      </c>
      <c r="C10" s="2" t="s">
        <v>21</v>
      </c>
      <c r="D10" s="2">
        <v>764498</v>
      </c>
      <c r="E10" s="2" t="s">
        <v>8</v>
      </c>
      <c r="F10" s="2" t="str">
        <f>"076"</f>
        <v>076</v>
      </c>
      <c r="G10" s="2" t="str">
        <f t="shared" si="0"/>
        <v>GMAI-25076</v>
      </c>
      <c r="H10" s="2" t="s">
        <v>23</v>
      </c>
    </row>
    <row r="11" spans="1:8" ht="40.5" x14ac:dyDescent="0.25">
      <c r="A11" s="2">
        <v>143167</v>
      </c>
      <c r="B11" s="2" t="s">
        <v>6</v>
      </c>
      <c r="C11" s="2" t="s">
        <v>24</v>
      </c>
      <c r="D11" s="2">
        <v>736018</v>
      </c>
      <c r="E11" s="2" t="s">
        <v>11</v>
      </c>
      <c r="F11" s="2" t="str">
        <f>"008"</f>
        <v>008</v>
      </c>
      <c r="G11" s="2" t="str">
        <f t="shared" si="0"/>
        <v>GMAI-25008</v>
      </c>
      <c r="H11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TFG GMAI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José Reinoso Peinado</cp:lastModifiedBy>
  <dcterms:created xsi:type="dcterms:W3CDTF">2026-03-26T09:04:54Z</dcterms:created>
  <dcterms:modified xsi:type="dcterms:W3CDTF">2026-03-26T09:09:25Z</dcterms:modified>
</cp:coreProperties>
</file>